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A2C0ABE-0C9F-4FA7-87AA-0E3264A186EF}" xr6:coauthVersionLast="47" xr6:coauthVersionMax="47" xr10:uidLastSave="{00000000-0000-0000-0000-000000000000}"/>
  <bookViews>
    <workbookView xWindow="-108" yWindow="-108" windowWidth="23256" windowHeight="12456" xr2:uid="{0A481D49-9D4E-45E4-9A4B-6314E0B90509}"/>
  </bookViews>
  <sheets>
    <sheet name="SOLUTION" sheetId="1" r:id="rId1"/>
    <sheet name="REFERENCE TAB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N11" i="1" s="1"/>
  <c r="R11" i="1"/>
  <c r="P11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8" i="1"/>
</calcChain>
</file>

<file path=xl/sharedStrings.xml><?xml version="1.0" encoding="utf-8"?>
<sst xmlns="http://schemas.openxmlformats.org/spreadsheetml/2006/main" count="57" uniqueCount="34">
  <si>
    <t>DATE</t>
  </si>
  <si>
    <t>Discount</t>
  </si>
  <si>
    <t>Sales Tax</t>
  </si>
  <si>
    <t>More than 10$</t>
  </si>
  <si>
    <t>Less than 10$</t>
  </si>
  <si>
    <t>Item</t>
  </si>
  <si>
    <t>Price</t>
  </si>
  <si>
    <t>Amount</t>
  </si>
  <si>
    <t>Unit</t>
  </si>
  <si>
    <t>Net Amount</t>
  </si>
  <si>
    <t>Total</t>
  </si>
  <si>
    <t>Sales schedule</t>
  </si>
  <si>
    <t>25/3/2026</t>
  </si>
  <si>
    <t>26/3/2026</t>
  </si>
  <si>
    <t>USB-C Cable</t>
  </si>
  <si>
    <t>Wireless Mouse</t>
  </si>
  <si>
    <t>Power Bank 10k</t>
  </si>
  <si>
    <t>Screen Protector</t>
  </si>
  <si>
    <t>Bluetooth Speaker</t>
  </si>
  <si>
    <t>Wired Earphones</t>
  </si>
  <si>
    <t>Phone Case (Silicon)</t>
  </si>
  <si>
    <t>Wall Charger 20W</t>
  </si>
  <si>
    <t>Micro SD Card 64GB</t>
  </si>
  <si>
    <t>Laptop Stand</t>
  </si>
  <si>
    <t>HDMI Cable 2M</t>
  </si>
  <si>
    <t>Mechanical Keyboard</t>
  </si>
  <si>
    <t>Webcam 1080p</t>
  </si>
  <si>
    <t>Gaming Headset</t>
  </si>
  <si>
    <t>Smart Watch</t>
  </si>
  <si>
    <t>OTG Adapter</t>
  </si>
  <si>
    <t>Ring Light</t>
  </si>
  <si>
    <t>Car Phone Holder</t>
  </si>
  <si>
    <t>USB Flash Drive</t>
  </si>
  <si>
    <t>Laptop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</si>
</sst>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1010000]d/m/yyyy;@"/>
    <numFmt numFmtId="170" formatCode="&quot;$&quot;#,##0.00"/>
    <numFmt numFmtId="171" formatCode="yyyy\-mm\-d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4" tint="0.39997558519241921"/>
      <name val="Calibri"/>
      <family val="2"/>
      <scheme val="minor"/>
    </font>
    <font>
      <sz val="72"/>
      <color theme="4" tint="0.39997558519241921"/>
      <name val="Calibri"/>
      <family val="2"/>
      <scheme val="minor"/>
    </font>
    <font>
      <b/>
      <sz val="36"/>
      <color theme="0"/>
      <name val="Calibri Light"/>
      <family val="2"/>
      <scheme val="major"/>
    </font>
    <font>
      <b/>
      <sz val="16"/>
      <color theme="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28"/>
      <color theme="0"/>
      <name val="Arial Black"/>
      <family val="2"/>
    </font>
    <font>
      <sz val="11"/>
      <color theme="0"/>
      <name val="Arial Black"/>
      <family val="2"/>
    </font>
    <font>
      <sz val="8"/>
      <name val="Calibri"/>
      <family val="2"/>
      <scheme val="minor"/>
    </font>
    <font>
      <sz val="18"/>
      <color theme="0"/>
      <name val="Arial Black"/>
      <family val="2"/>
    </font>
    <font>
      <sz val="14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thin">
        <color theme="1"/>
      </right>
      <top/>
      <bottom style="double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 style="double">
        <color theme="1"/>
      </top>
      <bottom/>
      <diagonal/>
    </border>
    <border>
      <left/>
      <right style="thin">
        <color theme="1"/>
      </right>
      <top style="double">
        <color theme="1"/>
      </top>
      <bottom/>
      <diagonal/>
    </border>
    <border>
      <left style="thin">
        <color theme="1"/>
      </left>
      <right/>
      <top style="double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double">
        <color theme="1"/>
      </bottom>
      <diagonal/>
    </border>
    <border>
      <left/>
      <right style="medium">
        <color theme="5" tint="0.59999389629810485"/>
      </right>
      <top/>
      <bottom/>
      <diagonal/>
    </border>
    <border>
      <left/>
      <right style="medium">
        <color theme="5" tint="0.59999389629810485"/>
      </right>
      <top/>
      <bottom style="double">
        <color theme="1"/>
      </bottom>
      <diagonal/>
    </border>
    <border>
      <left/>
      <right/>
      <top/>
      <bottom style="medium">
        <color theme="5" tint="0.59999389629810485"/>
      </bottom>
      <diagonal/>
    </border>
    <border>
      <left/>
      <right/>
      <top style="medium">
        <color theme="5" tint="0.59999389629810485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theme="5" tint="0.59999389629810485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ck">
        <color theme="8" tint="0.59999389629810485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dashed">
        <color theme="1"/>
      </top>
      <bottom style="thin">
        <color theme="1"/>
      </bottom>
      <diagonal/>
    </border>
    <border>
      <left style="dashed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thin">
        <color theme="1"/>
      </top>
      <bottom style="thin">
        <color theme="1"/>
      </bottom>
      <diagonal/>
    </border>
    <border>
      <left style="dashed">
        <color theme="1"/>
      </left>
      <right style="thin">
        <color theme="1"/>
      </right>
      <top style="thin">
        <color theme="1"/>
      </top>
      <bottom style="dashed">
        <color theme="1"/>
      </bottom>
      <diagonal/>
    </border>
    <border>
      <left style="thin">
        <color theme="1"/>
      </left>
      <right style="dashed">
        <color theme="1"/>
      </right>
      <top style="thin">
        <color theme="1"/>
      </top>
      <bottom style="dashed">
        <color theme="1"/>
      </bottom>
      <diagonal/>
    </border>
    <border>
      <left/>
      <right style="thin">
        <color theme="1"/>
      </right>
      <top style="dashed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dashed">
        <color theme="1"/>
      </bottom>
      <diagonal/>
    </border>
    <border>
      <left style="thin">
        <color theme="1"/>
      </left>
      <right/>
      <top style="dashed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dashed">
        <color theme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9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4" fillId="2" borderId="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1" fillId="4" borderId="15" xfId="0" applyFont="1" applyFill="1" applyBorder="1"/>
    <xf numFmtId="0" fontId="7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0" fillId="6" borderId="16" xfId="0" applyFill="1" applyBorder="1"/>
    <xf numFmtId="0" fontId="0" fillId="6" borderId="1" xfId="0" applyFill="1" applyBorder="1"/>
    <xf numFmtId="165" fontId="0" fillId="6" borderId="18" xfId="0" applyNumberFormat="1" applyFill="1" applyBorder="1"/>
    <xf numFmtId="170" fontId="0" fillId="0" borderId="0" xfId="0" applyNumberFormat="1"/>
    <xf numFmtId="170" fontId="0" fillId="6" borderId="19" xfId="0" applyNumberFormat="1" applyFill="1" applyBorder="1"/>
    <xf numFmtId="170" fontId="0" fillId="6" borderId="16" xfId="0" applyNumberFormat="1" applyFill="1" applyBorder="1"/>
    <xf numFmtId="170" fontId="1" fillId="0" borderId="0" xfId="0" applyNumberFormat="1" applyFont="1"/>
    <xf numFmtId="0" fontId="0" fillId="0" borderId="0" xfId="0" applyAlignment="1"/>
    <xf numFmtId="0" fontId="11" fillId="7" borderId="20" xfId="0" applyFont="1" applyFill="1" applyBorder="1" applyAlignment="1">
      <alignment horizontal="center"/>
    </xf>
    <xf numFmtId="170" fontId="11" fillId="7" borderId="0" xfId="0" applyNumberFormat="1" applyFont="1" applyFill="1" applyBorder="1" applyAlignment="1">
      <alignment horizontal="center"/>
    </xf>
    <xf numFmtId="0" fontId="11" fillId="7" borderId="0" xfId="0" applyFont="1" applyFill="1" applyBorder="1" applyAlignment="1">
      <alignment horizontal="center"/>
    </xf>
    <xf numFmtId="171" fontId="10" fillId="5" borderId="21" xfId="0" applyNumberFormat="1" applyFont="1" applyFill="1" applyBorder="1" applyAlignment="1">
      <alignment horizontal="center" vertical="center"/>
    </xf>
    <xf numFmtId="171" fontId="8" fillId="5" borderId="22" xfId="0" applyNumberFormat="1" applyFont="1" applyFill="1" applyBorder="1" applyAlignment="1">
      <alignment horizontal="center" vertical="center"/>
    </xf>
    <xf numFmtId="171" fontId="8" fillId="5" borderId="23" xfId="0" applyNumberFormat="1" applyFont="1" applyFill="1" applyBorder="1" applyAlignment="1">
      <alignment horizontal="center" vertical="center"/>
    </xf>
    <xf numFmtId="171" fontId="8" fillId="5" borderId="24" xfId="0" applyNumberFormat="1" applyFont="1" applyFill="1" applyBorder="1" applyAlignment="1">
      <alignment horizontal="center" vertical="center"/>
    </xf>
    <xf numFmtId="171" fontId="8" fillId="5" borderId="25" xfId="0" applyNumberFormat="1" applyFont="1" applyFill="1" applyBorder="1" applyAlignment="1">
      <alignment horizontal="center" vertical="center"/>
    </xf>
    <xf numFmtId="171" fontId="8" fillId="5" borderId="26" xfId="0" applyNumberFormat="1" applyFont="1" applyFill="1" applyBorder="1" applyAlignment="1">
      <alignment horizontal="center" vertical="center"/>
    </xf>
    <xf numFmtId="171" fontId="10" fillId="5" borderId="27" xfId="0" applyNumberFormat="1" applyFont="1" applyFill="1" applyBorder="1" applyAlignment="1">
      <alignment horizontal="center" vertical="center"/>
    </xf>
    <xf numFmtId="171" fontId="8" fillId="5" borderId="19" xfId="0" applyNumberFormat="1" applyFont="1" applyFill="1" applyBorder="1" applyAlignment="1">
      <alignment horizontal="center" vertical="center"/>
    </xf>
    <xf numFmtId="171" fontId="8" fillId="5" borderId="28" xfId="0" applyNumberFormat="1" applyFont="1" applyFill="1" applyBorder="1" applyAlignment="1">
      <alignment horizontal="center" vertical="center"/>
    </xf>
    <xf numFmtId="171" fontId="8" fillId="5" borderId="29" xfId="0" applyNumberFormat="1" applyFont="1" applyFill="1" applyBorder="1" applyAlignment="1">
      <alignment horizontal="center" vertical="center"/>
    </xf>
    <xf numFmtId="171" fontId="8" fillId="5" borderId="30" xfId="0" applyNumberFormat="1" applyFont="1" applyFill="1" applyBorder="1" applyAlignment="1">
      <alignment horizontal="center" vertical="center"/>
    </xf>
    <xf numFmtId="171" fontId="8" fillId="5" borderId="3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9FE7-8EC8-4F95-BA76-76D457D51D4B}">
  <dimension ref="C2:S28"/>
  <sheetViews>
    <sheetView tabSelected="1" topLeftCell="B1" workbookViewId="0">
      <selection activeCell="K9" sqref="K9"/>
    </sheetView>
  </sheetViews>
  <sheetFormatPr defaultRowHeight="14.4" x14ac:dyDescent="0.3"/>
  <cols>
    <col min="3" max="3" width="10" customWidth="1"/>
    <col min="4" max="4" width="18.6640625" bestFit="1" customWidth="1"/>
    <col min="9" max="9" width="11.33203125" bestFit="1" customWidth="1"/>
    <col min="10" max="10" width="8.5546875" bestFit="1" customWidth="1"/>
  </cols>
  <sheetData>
    <row r="2" spans="3:19" x14ac:dyDescent="0.3">
      <c r="C2" s="32" t="s">
        <v>11</v>
      </c>
      <c r="D2" s="33"/>
      <c r="E2" s="33"/>
      <c r="F2" s="33"/>
      <c r="G2" s="33"/>
      <c r="H2" s="33"/>
      <c r="I2" s="33"/>
      <c r="J2" s="33"/>
      <c r="K2" s="33"/>
    </row>
    <row r="3" spans="3:19" x14ac:dyDescent="0.3">
      <c r="C3" s="33"/>
      <c r="D3" s="33"/>
      <c r="E3" s="33"/>
      <c r="F3" s="33"/>
      <c r="G3" s="33"/>
      <c r="H3" s="33"/>
      <c r="I3" s="33"/>
      <c r="J3" s="33"/>
      <c r="K3" s="33"/>
    </row>
    <row r="4" spans="3:19" ht="15" thickBot="1" x14ac:dyDescent="0.35">
      <c r="C4" s="34"/>
      <c r="D4" s="34"/>
      <c r="E4" s="34"/>
      <c r="F4" s="34"/>
      <c r="G4" s="34"/>
      <c r="H4" s="34"/>
      <c r="I4" s="34"/>
      <c r="J4" s="34"/>
      <c r="K4" s="34"/>
    </row>
    <row r="5" spans="3:19" ht="15" thickTop="1" x14ac:dyDescent="0.3"/>
    <row r="6" spans="3:19" ht="15" thickBot="1" x14ac:dyDescent="0.35"/>
    <row r="7" spans="3:19" ht="15" thickBot="1" x14ac:dyDescent="0.35">
      <c r="C7" s="31" t="s">
        <v>0</v>
      </c>
      <c r="D7" s="31" t="s">
        <v>5</v>
      </c>
      <c r="E7" s="31" t="s">
        <v>6</v>
      </c>
      <c r="F7" s="31" t="s">
        <v>8</v>
      </c>
      <c r="G7" s="31" t="s">
        <v>7</v>
      </c>
      <c r="H7" s="31" t="s">
        <v>1</v>
      </c>
      <c r="I7" s="31" t="s">
        <v>9</v>
      </c>
      <c r="J7" s="31" t="s">
        <v>2</v>
      </c>
      <c r="K7" s="31" t="s">
        <v>10</v>
      </c>
      <c r="N7" s="46" t="s">
        <v>12</v>
      </c>
      <c r="O7" s="55"/>
      <c r="P7" s="46" t="s">
        <v>13</v>
      </c>
      <c r="Q7" s="47"/>
      <c r="R7" s="52" t="s">
        <v>10</v>
      </c>
      <c r="S7" s="47"/>
    </row>
    <row r="8" spans="3:19" x14ac:dyDescent="0.3">
      <c r="C8" s="37" t="s">
        <v>12</v>
      </c>
      <c r="D8" s="35" t="s">
        <v>14</v>
      </c>
      <c r="E8" s="38">
        <v>8</v>
      </c>
      <c r="F8" s="35">
        <v>2</v>
      </c>
      <c r="G8" s="40">
        <f>E8*F8</f>
        <v>16</v>
      </c>
      <c r="H8" s="40">
        <f>G8 * IF(E8&lt;10,0.02,0.05)</f>
        <v>0.32</v>
      </c>
      <c r="I8" s="40">
        <f>G8-H8</f>
        <v>15.68</v>
      </c>
      <c r="J8" s="40">
        <f>I8 *0.14</f>
        <v>2.1952000000000003</v>
      </c>
      <c r="K8" s="40">
        <f>SUM(I8+J8)</f>
        <v>17.8752</v>
      </c>
      <c r="N8" s="48"/>
      <c r="O8" s="56"/>
      <c r="P8" s="48"/>
      <c r="Q8" s="49"/>
      <c r="R8" s="53"/>
      <c r="S8" s="49"/>
    </row>
    <row r="9" spans="3:19" x14ac:dyDescent="0.3">
      <c r="C9" s="37" t="s">
        <v>12</v>
      </c>
      <c r="D9" s="1" t="s">
        <v>15</v>
      </c>
      <c r="E9" s="39">
        <v>15</v>
      </c>
      <c r="F9" s="36">
        <v>3</v>
      </c>
      <c r="G9" s="40">
        <f t="shared" ref="G9:G27" si="0">E9*F9</f>
        <v>45</v>
      </c>
      <c r="H9" s="40">
        <f t="shared" ref="H9:H27" si="1">G9 * IF(E9&lt;10,0.02,0.05)</f>
        <v>2.25</v>
      </c>
      <c r="I9" s="40">
        <f t="shared" ref="I9:I27" si="2">G9-H9</f>
        <v>42.75</v>
      </c>
      <c r="J9" s="40">
        <f t="shared" ref="J9:J27" si="3">I9 *0.14</f>
        <v>5.9850000000000003</v>
      </c>
      <c r="K9" s="40">
        <f t="shared" ref="K9:K27" si="4">I9 + J9</f>
        <v>48.734999999999999</v>
      </c>
      <c r="N9" s="48"/>
      <c r="O9" s="56"/>
      <c r="P9" s="48"/>
      <c r="Q9" s="49"/>
      <c r="R9" s="53"/>
      <c r="S9" s="49"/>
    </row>
    <row r="10" spans="3:19" x14ac:dyDescent="0.3">
      <c r="C10" s="37" t="s">
        <v>12</v>
      </c>
      <c r="D10" s="1" t="s">
        <v>16</v>
      </c>
      <c r="E10" s="39">
        <v>25</v>
      </c>
      <c r="F10" s="36">
        <v>4</v>
      </c>
      <c r="G10" s="40">
        <f t="shared" si="0"/>
        <v>100</v>
      </c>
      <c r="H10" s="40">
        <f t="shared" si="1"/>
        <v>5</v>
      </c>
      <c r="I10" s="40">
        <f t="shared" si="2"/>
        <v>95</v>
      </c>
      <c r="J10" s="40">
        <f t="shared" si="3"/>
        <v>13.3</v>
      </c>
      <c r="K10" s="40">
        <f t="shared" si="4"/>
        <v>108.3</v>
      </c>
      <c r="N10" s="50"/>
      <c r="O10" s="57"/>
      <c r="P10" s="50"/>
      <c r="Q10" s="51"/>
      <c r="R10" s="54"/>
      <c r="S10" s="51"/>
    </row>
    <row r="11" spans="3:19" ht="14.4" customHeight="1" x14ac:dyDescent="0.3">
      <c r="C11" s="37" t="s">
        <v>12</v>
      </c>
      <c r="D11" s="1" t="s">
        <v>17</v>
      </c>
      <c r="E11" s="39">
        <v>6</v>
      </c>
      <c r="F11" s="36">
        <v>6</v>
      </c>
      <c r="G11" s="40">
        <f t="shared" si="0"/>
        <v>36</v>
      </c>
      <c r="H11" s="40">
        <f t="shared" si="1"/>
        <v>0.72</v>
      </c>
      <c r="I11" s="40">
        <f t="shared" si="2"/>
        <v>35.28</v>
      </c>
      <c r="J11" s="40">
        <f t="shared" si="3"/>
        <v>4.9392000000000005</v>
      </c>
      <c r="K11" s="40">
        <f t="shared" si="4"/>
        <v>40.219200000000001</v>
      </c>
      <c r="N11" s="44">
        <f>SUM(K8:K17)</f>
        <v>2161.4171999999999</v>
      </c>
      <c r="O11" s="45"/>
      <c r="P11" s="44">
        <f>SUM(K18:K27)</f>
        <v>1648.5311999999999</v>
      </c>
      <c r="Q11" s="45"/>
      <c r="R11" s="44">
        <f>SUM(K8:K27)</f>
        <v>3809.9484000000002</v>
      </c>
      <c r="S11" s="45"/>
    </row>
    <row r="12" spans="3:19" ht="14.4" customHeight="1" thickBot="1" x14ac:dyDescent="0.35">
      <c r="C12" s="37" t="s">
        <v>12</v>
      </c>
      <c r="D12" s="1" t="s">
        <v>18</v>
      </c>
      <c r="E12" s="39">
        <v>35</v>
      </c>
      <c r="F12" s="36">
        <v>21</v>
      </c>
      <c r="G12" s="40">
        <f t="shared" si="0"/>
        <v>735</v>
      </c>
      <c r="H12" s="40">
        <f t="shared" si="1"/>
        <v>36.75</v>
      </c>
      <c r="I12" s="40">
        <f t="shared" si="2"/>
        <v>698.25</v>
      </c>
      <c r="J12" s="40">
        <f t="shared" si="3"/>
        <v>97.75500000000001</v>
      </c>
      <c r="K12" s="40">
        <f t="shared" si="4"/>
        <v>796.005</v>
      </c>
      <c r="N12" s="43"/>
      <c r="O12" s="43"/>
      <c r="P12" s="43"/>
      <c r="Q12" s="43"/>
      <c r="R12" s="43"/>
      <c r="S12" s="43"/>
    </row>
    <row r="13" spans="3:19" ht="14.4" customHeight="1" thickTop="1" x14ac:dyDescent="0.3">
      <c r="C13" s="37" t="s">
        <v>12</v>
      </c>
      <c r="D13" s="1" t="s">
        <v>19</v>
      </c>
      <c r="E13" s="39">
        <v>12</v>
      </c>
      <c r="F13" s="36">
        <v>12</v>
      </c>
      <c r="G13" s="40">
        <f t="shared" si="0"/>
        <v>144</v>
      </c>
      <c r="H13" s="40">
        <f t="shared" si="1"/>
        <v>7.2</v>
      </c>
      <c r="I13" s="40">
        <f t="shared" si="2"/>
        <v>136.80000000000001</v>
      </c>
      <c r="J13" s="40">
        <f t="shared" si="3"/>
        <v>19.152000000000005</v>
      </c>
      <c r="K13" s="40">
        <f t="shared" si="4"/>
        <v>155.95200000000003</v>
      </c>
      <c r="P13" s="42"/>
      <c r="Q13" s="42"/>
      <c r="R13" s="42"/>
    </row>
    <row r="14" spans="3:19" ht="14.4" customHeight="1" x14ac:dyDescent="0.3">
      <c r="C14" s="37" t="s">
        <v>12</v>
      </c>
      <c r="D14" s="1" t="s">
        <v>20</v>
      </c>
      <c r="E14" s="39">
        <v>9</v>
      </c>
      <c r="F14" s="36">
        <v>11</v>
      </c>
      <c r="G14" s="40">
        <f t="shared" si="0"/>
        <v>99</v>
      </c>
      <c r="H14" s="40">
        <f t="shared" si="1"/>
        <v>1.98</v>
      </c>
      <c r="I14" s="40">
        <f t="shared" si="2"/>
        <v>97.02</v>
      </c>
      <c r="J14" s="40">
        <f t="shared" si="3"/>
        <v>13.582800000000001</v>
      </c>
      <c r="K14" s="40">
        <f t="shared" si="4"/>
        <v>110.6028</v>
      </c>
      <c r="P14" s="42"/>
      <c r="Q14" s="42"/>
      <c r="R14" s="42"/>
    </row>
    <row r="15" spans="3:19" x14ac:dyDescent="0.3">
      <c r="C15" s="37" t="s">
        <v>12</v>
      </c>
      <c r="D15" s="1" t="s">
        <v>21</v>
      </c>
      <c r="E15" s="39">
        <v>18</v>
      </c>
      <c r="F15" s="36">
        <v>5</v>
      </c>
      <c r="G15" s="40">
        <f t="shared" si="0"/>
        <v>90</v>
      </c>
      <c r="H15" s="40">
        <f t="shared" si="1"/>
        <v>4.5</v>
      </c>
      <c r="I15" s="40">
        <f t="shared" si="2"/>
        <v>85.5</v>
      </c>
      <c r="J15" s="40">
        <f t="shared" si="3"/>
        <v>11.97</v>
      </c>
      <c r="K15" s="40">
        <f t="shared" si="4"/>
        <v>97.47</v>
      </c>
      <c r="N15" s="42"/>
      <c r="O15" s="42"/>
      <c r="P15" s="42"/>
      <c r="Q15" s="42"/>
      <c r="R15" s="42"/>
    </row>
    <row r="16" spans="3:19" x14ac:dyDescent="0.3">
      <c r="C16" s="37" t="s">
        <v>12</v>
      </c>
      <c r="D16" s="1" t="s">
        <v>22</v>
      </c>
      <c r="E16" s="39">
        <v>11</v>
      </c>
      <c r="F16" s="36">
        <v>6</v>
      </c>
      <c r="G16" s="40">
        <f t="shared" si="0"/>
        <v>66</v>
      </c>
      <c r="H16" s="40">
        <f t="shared" si="1"/>
        <v>3.3000000000000003</v>
      </c>
      <c r="I16" s="40">
        <f t="shared" si="2"/>
        <v>62.7</v>
      </c>
      <c r="J16" s="40">
        <f t="shared" si="3"/>
        <v>8.7780000000000005</v>
      </c>
      <c r="K16" s="40">
        <f t="shared" si="4"/>
        <v>71.478000000000009</v>
      </c>
      <c r="N16" s="42"/>
      <c r="O16" s="42"/>
      <c r="P16" s="42"/>
      <c r="Q16" s="42"/>
      <c r="R16" s="42"/>
    </row>
    <row r="17" spans="3:11" x14ac:dyDescent="0.3">
      <c r="C17" s="37" t="s">
        <v>12</v>
      </c>
      <c r="D17" s="1" t="s">
        <v>23</v>
      </c>
      <c r="E17" s="39">
        <v>22</v>
      </c>
      <c r="F17" s="36">
        <v>30</v>
      </c>
      <c r="G17" s="40">
        <f t="shared" si="0"/>
        <v>660</v>
      </c>
      <c r="H17" s="40">
        <f t="shared" si="1"/>
        <v>33</v>
      </c>
      <c r="I17" s="40">
        <f t="shared" si="2"/>
        <v>627</v>
      </c>
      <c r="J17" s="40">
        <f t="shared" si="3"/>
        <v>87.780000000000015</v>
      </c>
      <c r="K17" s="40">
        <f t="shared" si="4"/>
        <v>714.78</v>
      </c>
    </row>
    <row r="18" spans="3:11" x14ac:dyDescent="0.3">
      <c r="C18" s="37" t="s">
        <v>13</v>
      </c>
      <c r="D18" s="1" t="s">
        <v>24</v>
      </c>
      <c r="E18" s="39">
        <v>7</v>
      </c>
      <c r="F18" s="36">
        <v>3</v>
      </c>
      <c r="G18" s="40">
        <f t="shared" si="0"/>
        <v>21</v>
      </c>
      <c r="H18" s="40">
        <f t="shared" si="1"/>
        <v>0.42</v>
      </c>
      <c r="I18" s="40">
        <f t="shared" si="2"/>
        <v>20.58</v>
      </c>
      <c r="J18" s="40">
        <f t="shared" si="3"/>
        <v>2.8812000000000002</v>
      </c>
      <c r="K18" s="40">
        <f t="shared" si="4"/>
        <v>23.461199999999998</v>
      </c>
    </row>
    <row r="19" spans="3:11" ht="13.2" customHeight="1" x14ac:dyDescent="0.3">
      <c r="C19" s="37" t="s">
        <v>13</v>
      </c>
      <c r="D19" s="1" t="s">
        <v>25</v>
      </c>
      <c r="E19" s="39">
        <v>55</v>
      </c>
      <c r="F19" s="36">
        <v>6</v>
      </c>
      <c r="G19" s="40">
        <f t="shared" si="0"/>
        <v>330</v>
      </c>
      <c r="H19" s="40">
        <f t="shared" si="1"/>
        <v>16.5</v>
      </c>
      <c r="I19" s="40">
        <f t="shared" si="2"/>
        <v>313.5</v>
      </c>
      <c r="J19" s="40">
        <f t="shared" si="3"/>
        <v>43.890000000000008</v>
      </c>
      <c r="K19" s="40">
        <f t="shared" si="4"/>
        <v>357.39</v>
      </c>
    </row>
    <row r="20" spans="3:11" x14ac:dyDescent="0.3">
      <c r="C20" s="37" t="s">
        <v>13</v>
      </c>
      <c r="D20" s="1" t="s">
        <v>26</v>
      </c>
      <c r="E20" s="39">
        <v>40</v>
      </c>
      <c r="F20" s="36">
        <v>9</v>
      </c>
      <c r="G20" s="40">
        <f t="shared" si="0"/>
        <v>360</v>
      </c>
      <c r="H20" s="40">
        <f t="shared" si="1"/>
        <v>18</v>
      </c>
      <c r="I20" s="40">
        <f t="shared" si="2"/>
        <v>342</v>
      </c>
      <c r="J20" s="40">
        <f t="shared" si="3"/>
        <v>47.88</v>
      </c>
      <c r="K20" s="40">
        <f t="shared" si="4"/>
        <v>389.88</v>
      </c>
    </row>
    <row r="21" spans="3:11" x14ac:dyDescent="0.3">
      <c r="C21" s="37" t="s">
        <v>13</v>
      </c>
      <c r="D21" s="1" t="s">
        <v>27</v>
      </c>
      <c r="E21" s="39">
        <v>30</v>
      </c>
      <c r="F21" s="36">
        <v>10</v>
      </c>
      <c r="G21" s="40">
        <f t="shared" si="0"/>
        <v>300</v>
      </c>
      <c r="H21" s="40">
        <f t="shared" si="1"/>
        <v>15</v>
      </c>
      <c r="I21" s="40">
        <f t="shared" si="2"/>
        <v>285</v>
      </c>
      <c r="J21" s="40">
        <f t="shared" si="3"/>
        <v>39.900000000000006</v>
      </c>
      <c r="K21" s="40">
        <f t="shared" si="4"/>
        <v>324.89999999999998</v>
      </c>
    </row>
    <row r="22" spans="3:11" x14ac:dyDescent="0.3">
      <c r="C22" s="37" t="s">
        <v>13</v>
      </c>
      <c r="D22" s="1" t="s">
        <v>28</v>
      </c>
      <c r="E22" s="39">
        <v>65</v>
      </c>
      <c r="F22" s="36">
        <v>3</v>
      </c>
      <c r="G22" s="40">
        <f t="shared" si="0"/>
        <v>195</v>
      </c>
      <c r="H22" s="40">
        <f t="shared" si="1"/>
        <v>9.75</v>
      </c>
      <c r="I22" s="40">
        <f t="shared" si="2"/>
        <v>185.25</v>
      </c>
      <c r="J22" s="40">
        <f t="shared" si="3"/>
        <v>25.935000000000002</v>
      </c>
      <c r="K22" s="40">
        <f t="shared" si="4"/>
        <v>211.185</v>
      </c>
    </row>
    <row r="23" spans="3:11" x14ac:dyDescent="0.3">
      <c r="C23" s="37" t="s">
        <v>13</v>
      </c>
      <c r="D23" s="1" t="s">
        <v>29</v>
      </c>
      <c r="E23" s="39">
        <v>4</v>
      </c>
      <c r="F23" s="36">
        <v>2</v>
      </c>
      <c r="G23" s="40">
        <f t="shared" si="0"/>
        <v>8</v>
      </c>
      <c r="H23" s="40">
        <f t="shared" si="1"/>
        <v>0.16</v>
      </c>
      <c r="I23" s="40">
        <f t="shared" si="2"/>
        <v>7.84</v>
      </c>
      <c r="J23" s="40">
        <f t="shared" si="3"/>
        <v>1.0976000000000001</v>
      </c>
      <c r="K23" s="40">
        <f t="shared" si="4"/>
        <v>8.9375999999999998</v>
      </c>
    </row>
    <row r="24" spans="3:11" x14ac:dyDescent="0.3">
      <c r="C24" s="37" t="s">
        <v>13</v>
      </c>
      <c r="D24" s="1" t="s">
        <v>30</v>
      </c>
      <c r="E24" s="39">
        <v>14</v>
      </c>
      <c r="F24" s="36">
        <v>1</v>
      </c>
      <c r="G24" s="40">
        <f t="shared" si="0"/>
        <v>14</v>
      </c>
      <c r="H24" s="40">
        <f t="shared" si="1"/>
        <v>0.70000000000000007</v>
      </c>
      <c r="I24" s="40">
        <f t="shared" si="2"/>
        <v>13.3</v>
      </c>
      <c r="J24" s="40">
        <f t="shared" si="3"/>
        <v>1.8620000000000003</v>
      </c>
      <c r="K24" s="40">
        <f t="shared" si="4"/>
        <v>15.162000000000001</v>
      </c>
    </row>
    <row r="25" spans="3:11" x14ac:dyDescent="0.3">
      <c r="C25" s="37" t="s">
        <v>13</v>
      </c>
      <c r="D25" s="1" t="s">
        <v>31</v>
      </c>
      <c r="E25" s="39">
        <v>10</v>
      </c>
      <c r="F25" s="36">
        <v>5</v>
      </c>
      <c r="G25" s="40">
        <f t="shared" si="0"/>
        <v>50</v>
      </c>
      <c r="H25" s="40">
        <f t="shared" si="1"/>
        <v>2.5</v>
      </c>
      <c r="I25" s="40">
        <f t="shared" si="2"/>
        <v>47.5</v>
      </c>
      <c r="J25" s="40">
        <f t="shared" si="3"/>
        <v>6.65</v>
      </c>
      <c r="K25" s="40">
        <f t="shared" si="4"/>
        <v>54.15</v>
      </c>
    </row>
    <row r="26" spans="3:11" x14ac:dyDescent="0.3">
      <c r="C26" s="37" t="s">
        <v>13</v>
      </c>
      <c r="D26" s="1" t="s">
        <v>32</v>
      </c>
      <c r="E26" s="39">
        <v>9</v>
      </c>
      <c r="F26" s="36">
        <v>8</v>
      </c>
      <c r="G26" s="40">
        <f t="shared" si="0"/>
        <v>72</v>
      </c>
      <c r="H26" s="40">
        <f t="shared" si="1"/>
        <v>1.44</v>
      </c>
      <c r="I26" s="40">
        <f t="shared" si="2"/>
        <v>70.56</v>
      </c>
      <c r="J26" s="40">
        <f t="shared" si="3"/>
        <v>9.878400000000001</v>
      </c>
      <c r="K26" s="40">
        <f t="shared" si="4"/>
        <v>80.438400000000001</v>
      </c>
    </row>
    <row r="27" spans="3:11" x14ac:dyDescent="0.3">
      <c r="C27" s="37" t="s">
        <v>13</v>
      </c>
      <c r="D27" s="1" t="s">
        <v>33</v>
      </c>
      <c r="E27" s="39">
        <v>13</v>
      </c>
      <c r="F27" s="36">
        <v>13</v>
      </c>
      <c r="G27" s="40">
        <f t="shared" si="0"/>
        <v>169</v>
      </c>
      <c r="H27" s="40">
        <f t="shared" si="1"/>
        <v>8.4500000000000011</v>
      </c>
      <c r="I27" s="40">
        <f t="shared" si="2"/>
        <v>160.55000000000001</v>
      </c>
      <c r="J27" s="40">
        <f t="shared" si="3"/>
        <v>22.477000000000004</v>
      </c>
      <c r="K27" s="40">
        <f t="shared" si="4"/>
        <v>183.02700000000002</v>
      </c>
    </row>
    <row r="28" spans="3:11" x14ac:dyDescent="0.3">
      <c r="K28" s="41"/>
    </row>
  </sheetData>
  <mergeCells count="7">
    <mergeCell ref="N7:O10"/>
    <mergeCell ref="P7:Q10"/>
    <mergeCell ref="R7:S10"/>
    <mergeCell ref="N11:O12"/>
    <mergeCell ref="P11:Q12"/>
    <mergeCell ref="R11:S12"/>
    <mergeCell ref="C2:K4"/>
  </mergeCells>
  <phoneticPr fontId="9" type="noConversion"/>
  <conditionalFormatting sqref="K8:K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5669-AA65-4184-9EB1-614E9F8AD177}">
  <dimension ref="A4:I26"/>
  <sheetViews>
    <sheetView zoomScale="79" workbookViewId="0">
      <selection activeCell="D22" sqref="D22"/>
    </sheetView>
  </sheetViews>
  <sheetFormatPr defaultRowHeight="14.4" x14ac:dyDescent="0.3"/>
  <cols>
    <col min="3" max="3" width="13.109375" customWidth="1"/>
  </cols>
  <sheetData>
    <row r="4" spans="1:9" ht="15" thickBot="1" x14ac:dyDescent="0.35">
      <c r="B4" s="17"/>
      <c r="C4" s="17"/>
      <c r="D4" s="17"/>
      <c r="E4" s="17"/>
      <c r="F4" s="17"/>
      <c r="G4" s="17"/>
      <c r="H4" s="17"/>
      <c r="I4" s="17"/>
    </row>
    <row r="5" spans="1:9" x14ac:dyDescent="0.3">
      <c r="A5" s="18"/>
      <c r="B5" s="20" t="s">
        <v>1</v>
      </c>
      <c r="C5" s="20"/>
      <c r="D5" s="20"/>
      <c r="E5" s="21"/>
      <c r="F5" s="24" t="s">
        <v>2</v>
      </c>
      <c r="G5" s="20"/>
      <c r="H5" s="20"/>
      <c r="I5" s="25"/>
    </row>
    <row r="6" spans="1:9" x14ac:dyDescent="0.3">
      <c r="A6" s="18"/>
      <c r="B6" s="20"/>
      <c r="C6" s="20"/>
      <c r="D6" s="20"/>
      <c r="E6" s="21"/>
      <c r="F6" s="24"/>
      <c r="G6" s="20"/>
      <c r="H6" s="20"/>
      <c r="I6" s="25"/>
    </row>
    <row r="7" spans="1:9" x14ac:dyDescent="0.3">
      <c r="A7" s="18"/>
      <c r="B7" s="20"/>
      <c r="C7" s="20"/>
      <c r="D7" s="20"/>
      <c r="E7" s="21"/>
      <c r="F7" s="24"/>
      <c r="G7" s="20"/>
      <c r="H7" s="20"/>
      <c r="I7" s="25"/>
    </row>
    <row r="8" spans="1:9" ht="15" thickBot="1" x14ac:dyDescent="0.35">
      <c r="A8" s="18"/>
      <c r="B8" s="20"/>
      <c r="C8" s="20"/>
      <c r="D8" s="22"/>
      <c r="E8" s="23"/>
      <c r="F8" s="26"/>
      <c r="G8" s="22"/>
      <c r="H8" s="22"/>
      <c r="I8" s="27"/>
    </row>
    <row r="9" spans="1:9" ht="15" thickTop="1" x14ac:dyDescent="0.3">
      <c r="B9" s="28" t="s">
        <v>4</v>
      </c>
      <c r="C9" s="28"/>
      <c r="D9" s="2">
        <v>0.02</v>
      </c>
      <c r="E9" s="3"/>
      <c r="F9" s="8">
        <v>0.14000000000000001</v>
      </c>
      <c r="G9" s="9"/>
      <c r="H9" s="9"/>
      <c r="I9" s="14"/>
    </row>
    <row r="10" spans="1:9" x14ac:dyDescent="0.3">
      <c r="B10" s="28"/>
      <c r="C10" s="28"/>
      <c r="D10" s="4"/>
      <c r="E10" s="5"/>
      <c r="F10" s="10"/>
      <c r="G10" s="11"/>
      <c r="H10" s="11"/>
      <c r="I10" s="15"/>
    </row>
    <row r="11" spans="1:9" x14ac:dyDescent="0.3">
      <c r="B11" s="28"/>
      <c r="C11" s="28"/>
      <c r="D11" s="4"/>
      <c r="E11" s="5"/>
      <c r="F11" s="10"/>
      <c r="G11" s="11"/>
      <c r="H11" s="11"/>
      <c r="I11" s="15"/>
    </row>
    <row r="12" spans="1:9" ht="15" thickBot="1" x14ac:dyDescent="0.35">
      <c r="B12" s="28"/>
      <c r="C12" s="28"/>
      <c r="D12" s="6"/>
      <c r="E12" s="7"/>
      <c r="F12" s="10"/>
      <c r="G12" s="11"/>
      <c r="H12" s="11"/>
      <c r="I12" s="15"/>
    </row>
    <row r="13" spans="1:9" ht="15" thickTop="1" x14ac:dyDescent="0.3">
      <c r="B13" s="29" t="s">
        <v>3</v>
      </c>
      <c r="C13" s="29"/>
      <c r="D13" s="2">
        <v>0.05</v>
      </c>
      <c r="E13" s="3"/>
      <c r="F13" s="10"/>
      <c r="G13" s="11"/>
      <c r="H13" s="11"/>
      <c r="I13" s="15"/>
    </row>
    <row r="14" spans="1:9" x14ac:dyDescent="0.3">
      <c r="B14" s="29"/>
      <c r="C14" s="29"/>
      <c r="D14" s="4"/>
      <c r="E14" s="5"/>
      <c r="F14" s="10"/>
      <c r="G14" s="11"/>
      <c r="H14" s="11"/>
      <c r="I14" s="15"/>
    </row>
    <row r="15" spans="1:9" x14ac:dyDescent="0.3">
      <c r="B15" s="29"/>
      <c r="C15" s="29"/>
      <c r="D15" s="4"/>
      <c r="E15" s="5"/>
      <c r="F15" s="10"/>
      <c r="G15" s="11"/>
      <c r="H15" s="11"/>
      <c r="I15" s="15"/>
    </row>
    <row r="16" spans="1:9" ht="15" thickBot="1" x14ac:dyDescent="0.35">
      <c r="B16" s="30"/>
      <c r="C16" s="30"/>
      <c r="D16" s="6"/>
      <c r="E16" s="7"/>
      <c r="F16" s="12"/>
      <c r="G16" s="13"/>
      <c r="H16" s="13"/>
      <c r="I16" s="16"/>
    </row>
    <row r="17" spans="4:4" ht="15" thickTop="1" x14ac:dyDescent="0.3"/>
    <row r="25" spans="4:4" ht="15" thickBot="1" x14ac:dyDescent="0.35"/>
    <row r="26" spans="4:4" x14ac:dyDescent="0.3">
      <c r="D26" s="19"/>
    </row>
  </sheetData>
  <mergeCells count="7">
    <mergeCell ref="B5:E8"/>
    <mergeCell ref="F5:I8"/>
    <mergeCell ref="B9:C12"/>
    <mergeCell ref="B13:C16"/>
    <mergeCell ref="D9:E12"/>
    <mergeCell ref="D13:E16"/>
    <mergeCell ref="F9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REFERENCE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reyaaad</dc:creator>
  <cp:lastModifiedBy>ahmed reyaaad</cp:lastModifiedBy>
  <dcterms:created xsi:type="dcterms:W3CDTF">2026-03-26T19:31:14Z</dcterms:created>
  <dcterms:modified xsi:type="dcterms:W3CDTF">2026-03-26T20:50:25Z</dcterms:modified>
</cp:coreProperties>
</file>